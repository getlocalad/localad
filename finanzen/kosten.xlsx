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aufende Kosten" sheetId="1" state="visible" r:id="rId3"/>
    <sheet name="Variable Kosten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<sst xmlns="http://schemas.openxmlformats.org/spreadsheetml/2006/main" count="65" uniqueCount="61">
  <si>
    <t xml:space="preserve">LocalAd – Laufende Kosten (monatlich)</t>
  </si>
  <si>
    <t xml:space="preserve">Stand: Mai 2026  |  Alle Beträge in EUR  |  Nur manuell aktualisieren wenn sich Kosten ändern</t>
  </si>
  <si>
    <t xml:space="preserve">Dienst</t>
  </si>
  <si>
    <t xml:space="preserve">Beschreibung</t>
  </si>
  <si>
    <t xml:space="preserve">Abrechnungsmodell</t>
  </si>
  <si>
    <t xml:space="preserve">Kosten / Monat</t>
  </si>
  <si>
    <t xml:space="preserve">Status</t>
  </si>
  <si>
    <t xml:space="preserve">Notizen</t>
  </si>
  <si>
    <t xml:space="preserve">Railway</t>
  </si>
  <si>
    <t xml:space="preserve">Backend (Node.js/Express) + PostgreSQL-Datenbank</t>
  </si>
  <si>
    <t xml:space="preserve">Hobby-Plan, monatlich</t>
  </si>
  <si>
    <t xml:space="preserve">✅ Aktiv</t>
  </si>
  <si>
    <t xml:space="preserve">Inkl. Postgres; steigt bei &gt;500 MB RAM oder viel Traffic</t>
  </si>
  <si>
    <t xml:space="preserve">Domain getlocalad.de</t>
  </si>
  <si>
    <t xml:space="preserve">Jahresdomäne beim Registrar</t>
  </si>
  <si>
    <t xml:space="preserve">Jährlich (~12 €/Jahr)</t>
  </si>
  <si>
    <t xml:space="preserve">Entspricht ca. 1 €/Monat</t>
  </si>
  <si>
    <t xml:space="preserve">Resend</t>
  </si>
  <si>
    <t xml:space="preserve">E-Mail-Versand (Willkommen, Abo, Kontakt)</t>
  </si>
  <si>
    <t xml:space="preserve">Free Tier (3.000/Monat)</t>
  </si>
  <si>
    <t xml:space="preserve">Reicht bis ca. 3.000 Nutzer; danach 20 $/Monat</t>
  </si>
  <si>
    <t xml:space="preserve">Stripe</t>
  </si>
  <si>
    <t xml:space="preserve">Zahlungsabwicklung</t>
  </si>
  <si>
    <t xml:space="preserve">Keine Grundgebühr</t>
  </si>
  <si>
    <t xml:space="preserve">Nur Transaktionsgebühren – siehe Sheet 'Variable Kosten'</t>
  </si>
  <si>
    <t xml:space="preserve">GitHub</t>
  </si>
  <si>
    <t xml:space="preserve">Code-Repository</t>
  </si>
  <si>
    <t xml:space="preserve">Free Tier</t>
  </si>
  <si>
    <t xml:space="preserve">Free Tier reicht für das Projekt</t>
  </si>
  <si>
    <t xml:space="preserve">Chrome Web Store</t>
  </si>
  <si>
    <t xml:space="preserve">Entwickler-Registrierung (einmalig)</t>
  </si>
  <si>
    <t xml:space="preserve">Einmalig 5 USD</t>
  </si>
  <si>
    <t xml:space="preserve">✅ Bezahlt</t>
  </si>
  <si>
    <t xml:space="preserve">Einmalige Gebühr, bereits bezahlt</t>
  </si>
  <si>
    <t xml:space="preserve">Monatliche Fixkosten gesamt</t>
  </si>
  <si>
    <t xml:space="preserve">⚠️  Potenzielle Zusatzkosten ab Skalierung: Resend Paid (20 $/Monat ab 3.000+ Mails) · Railway Pro (20 $/Monat ab hohem Traffic) · Epidemic Sound für Musik (15 €/Monat)</t>
  </si>
  <si>
    <t xml:space="preserve">LocalAd – Variable Kosten: Stripe-Transaktionsgebühren</t>
  </si>
  <si>
    <t xml:space="preserve">Stripe berechnet pro Transaktion: 1,4% + 0,25 € (EU-Karte) | 2,9% + 0,25 € (Non-EU) | Abgerechnet monatlich</t>
  </si>
  <si>
    <t xml:space="preserve">Annahmen</t>
  </si>
  <si>
    <t xml:space="preserve">Abo-Preis pro Nutzer</t>
  </si>
  <si>
    <t xml:space="preserve">€/Monat</t>
  </si>
  <si>
    <t xml:space="preserve">Stripe-Gebühr EU (Prozent)</t>
  </si>
  <si>
    <t xml:space="preserve">1,4%</t>
  </si>
  <si>
    <t xml:space="preserve">Stripe-Gebühr EU (Fix)</t>
  </si>
  <si>
    <t xml:space="preserve">€ pro Transaktion</t>
  </si>
  <si>
    <t xml:space="preserve">Anteil EU-Karten</t>
  </si>
  <si>
    <t xml:space="preserve">95% angenommen</t>
  </si>
  <si>
    <t xml:space="preserve">Szenario</t>
  </si>
  <si>
    <t xml:space="preserve">Nutzer</t>
  </si>
  <si>
    <t xml:space="preserve">Umsatz / Monat</t>
  </si>
  <si>
    <t xml:space="preserve">Stripe-Gebühr / Monat</t>
  </si>
  <si>
    <t xml:space="preserve">Fixkosten / Monat</t>
  </si>
  <si>
    <t xml:space="preserve">Kosten gesamt</t>
  </si>
  <si>
    <t xml:space="preserve">Gewinn / Monat</t>
  </si>
  <si>
    <t xml:space="preserve">Aktuell (MVP)</t>
  </si>
  <si>
    <t xml:space="preserve">Frühe Tester</t>
  </si>
  <si>
    <t xml:space="preserve">Erste Welle</t>
  </si>
  <si>
    <t xml:space="preserve">Break-even</t>
  </si>
  <si>
    <t xml:space="preserve">Wachstumsphase</t>
  </si>
  <si>
    <t xml:space="preserve">Skalierung</t>
  </si>
  <si>
    <t xml:space="preserve">Ziel Jahr 1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</si>
</sst>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&quot; €&quot;;\(#,##0.00&quot; €)&quot;;\-"/>
    <numFmt numFmtId="166" formatCode="0.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64748B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9"/>
      <color rgb="FF92400E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E3A5F"/>
        <bgColor rgb="FF333333"/>
      </patternFill>
    </fill>
    <fill>
      <patternFill patternType="solid">
        <fgColor rgb="FFDBEAFE"/>
        <bgColor rgb="FFF1F5F9"/>
      </patternFill>
    </fill>
    <fill>
      <patternFill patternType="solid">
        <fgColor rgb="FF2563EB"/>
        <bgColor rgb="FF0066CC"/>
      </patternFill>
    </fill>
    <fill>
      <patternFill patternType="solid">
        <fgColor rgb="FFFFFFFF"/>
        <bgColor rgb="FFF1F5F9"/>
      </patternFill>
    </fill>
    <fill>
      <patternFill patternType="solid">
        <fgColor rgb="FFF1F5F9"/>
        <bgColor rgb="FFFFFFFF"/>
      </patternFill>
    </fill>
    <fill>
      <patternFill patternType="solid">
        <fgColor rgb="FFFEF3C7"/>
        <bgColor rgb="FFFFFF9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 diagonalUp="false" diagonalDown="false">
      <left style="thin">
        <color rgb="FFCBD5E1"/>
      </left>
      <right/>
      <top style="thin">
        <color rgb="FFCBD5E1"/>
      </top>
      <bottom style="thin">
        <color rgb="FFCBD5E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EF3C7"/>
      <rgbColor rgb="FFDBEAFE"/>
      <rgbColor rgb="FF660066"/>
      <rgbColor rgb="FFFF8080"/>
      <rgbColor rgb="FF0066CC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1F5F9"/>
      <rgbColor rgb="FFCCFFCC"/>
      <rgbColor rgb="FFFFFF99"/>
      <rgbColor rgb="FF99CCFF"/>
      <rgbColor rgb="FFFF99CC"/>
      <rgbColor rgb="FFCC99FF"/>
      <rgbColor rgb="FFFFCC99"/>
      <rgbColor rgb="FF2563EB"/>
      <rgbColor rgb="FF33CCCC"/>
      <rgbColor rgb="FF99CC00"/>
      <rgbColor rgb="FFFFCC00"/>
      <rgbColor rgb="FFFF9900"/>
      <rgbColor rgb="FFFF6600"/>
      <rgbColor rgb="FF64748B"/>
      <rgbColor rgb="FF969696"/>
      <rgbColor rgb="FF1E3A5F"/>
      <rgbColor rgb="FF339966"/>
      <rgbColor rgb="FF003300"/>
      <rgbColor rgb="FF333300"/>
      <rgbColor rgb="FF92400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38"/>
    <col collapsed="false" customWidth="true" hidden="false" outlineLevel="0" max="3" min="3" style="0" width="22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6" min="6" style="0" width="32"/>
  </cols>
  <sheetData>
    <row r="1" customFormat="false" ht="36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</row>
    <row r="3" customFormat="false" ht="6" hidden="false" customHeight="true" outlineLevel="0" collapsed="false"/>
    <row r="4" customFormat="false" ht="21.7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customFormat="false" ht="19.5" hidden="false" customHeight="true" outlineLevel="0" collapsed="false">
      <c r="A5" s="4" t="s">
        <v>8</v>
      </c>
      <c r="B5" s="4" t="s">
        <v>9</v>
      </c>
      <c r="C5" s="4" t="s">
        <v>10</v>
      </c>
      <c r="D5" s="5" t="n">
        <v>5</v>
      </c>
      <c r="E5" s="6" t="s">
        <v>11</v>
      </c>
      <c r="F5" s="4" t="s">
        <v>12</v>
      </c>
    </row>
    <row r="6" customFormat="false" ht="19.5" hidden="false" customHeight="true" outlineLevel="0" collapsed="false">
      <c r="A6" s="7" t="s">
        <v>13</v>
      </c>
      <c r="B6" s="7" t="s">
        <v>14</v>
      </c>
      <c r="C6" s="7" t="s">
        <v>15</v>
      </c>
      <c r="D6" s="8" t="n">
        <v>1</v>
      </c>
      <c r="E6" s="9" t="s">
        <v>11</v>
      </c>
      <c r="F6" s="7" t="s">
        <v>16</v>
      </c>
    </row>
    <row r="7" customFormat="false" ht="19.5" hidden="false" customHeight="true" outlineLevel="0" collapsed="false">
      <c r="A7" s="4" t="s">
        <v>17</v>
      </c>
      <c r="B7" s="4" t="s">
        <v>18</v>
      </c>
      <c r="C7" s="4" t="s">
        <v>19</v>
      </c>
      <c r="D7" s="5" t="n">
        <v>0</v>
      </c>
      <c r="E7" s="6" t="s">
        <v>11</v>
      </c>
      <c r="F7" s="4" t="s">
        <v>20</v>
      </c>
    </row>
    <row r="8" customFormat="false" ht="19.5" hidden="false" customHeight="true" outlineLevel="0" collapsed="false">
      <c r="A8" s="7" t="s">
        <v>21</v>
      </c>
      <c r="B8" s="7" t="s">
        <v>22</v>
      </c>
      <c r="C8" s="7" t="s">
        <v>23</v>
      </c>
      <c r="D8" s="8" t="n">
        <v>0</v>
      </c>
      <c r="E8" s="9" t="s">
        <v>11</v>
      </c>
      <c r="F8" s="7" t="s">
        <v>24</v>
      </c>
    </row>
    <row r="9" customFormat="false" ht="19.5" hidden="false" customHeight="true" outlineLevel="0" collapsed="false">
      <c r="A9" s="4" t="s">
        <v>25</v>
      </c>
      <c r="B9" s="4" t="s">
        <v>26</v>
      </c>
      <c r="C9" s="4" t="s">
        <v>27</v>
      </c>
      <c r="D9" s="5" t="n">
        <v>0</v>
      </c>
      <c r="E9" s="6" t="s">
        <v>11</v>
      </c>
      <c r="F9" s="4" t="s">
        <v>28</v>
      </c>
    </row>
    <row r="10" customFormat="false" ht="19.5" hidden="false" customHeight="true" outlineLevel="0" collapsed="false">
      <c r="A10" s="7" t="s">
        <v>29</v>
      </c>
      <c r="B10" s="7" t="s">
        <v>30</v>
      </c>
      <c r="C10" s="7" t="s">
        <v>31</v>
      </c>
      <c r="D10" s="8" t="n">
        <v>0</v>
      </c>
      <c r="E10" s="9" t="s">
        <v>32</v>
      </c>
      <c r="F10" s="7" t="s">
        <v>33</v>
      </c>
    </row>
    <row r="11" customFormat="false" ht="6" hidden="false" customHeight="true" outlineLevel="0" collapsed="false"/>
    <row r="12" customFormat="false" ht="24" hidden="false" customHeight="true" outlineLevel="0" collapsed="false">
      <c r="A12" s="10" t="s">
        <v>34</v>
      </c>
      <c r="B12" s="10"/>
      <c r="C12" s="10"/>
      <c r="D12" s="11" t="n">
        <f aca="false">SUM(D5:D10)</f>
        <v>6</v>
      </c>
      <c r="E12" s="12"/>
      <c r="F12" s="12"/>
    </row>
    <row r="14" customFormat="false" ht="18" hidden="false" customHeight="true" outlineLevel="0" collapsed="false">
      <c r="A14" s="13" t="s">
        <v>35</v>
      </c>
      <c r="B14" s="13"/>
      <c r="C14" s="13"/>
      <c r="D14" s="13"/>
      <c r="E14" s="13"/>
      <c r="F14" s="13"/>
    </row>
  </sheetData>
  <mergeCells count="4">
    <mergeCell ref="A1:F1"/>
    <mergeCell ref="A2:F2"/>
    <mergeCell ref="A12:C12"/>
    <mergeCell ref="A14:F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0" topLeftCell="A11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3" min="2" style="0" width="16"/>
    <col collapsed="false" customWidth="true" hidden="false" outlineLevel="0" max="6" min="4" style="0" width="18"/>
    <col collapsed="false" customWidth="true" hidden="false" outlineLevel="0" max="7" min="7" style="0" width="22"/>
  </cols>
  <sheetData>
    <row r="1" customFormat="false" ht="36" hidden="false" customHeight="true" outlineLevel="0" collapsed="false">
      <c r="A1" s="1" t="s">
        <v>36</v>
      </c>
      <c r="B1" s="1"/>
      <c r="C1" s="1"/>
      <c r="D1" s="1"/>
      <c r="E1" s="1"/>
      <c r="F1" s="1"/>
      <c r="G1" s="1"/>
    </row>
    <row r="2" customFormat="false" ht="18" hidden="false" customHeight="true" outlineLevel="0" collapsed="false">
      <c r="A2" s="2" t="s">
        <v>37</v>
      </c>
      <c r="B2" s="2"/>
      <c r="C2" s="2"/>
      <c r="D2" s="2"/>
      <c r="E2" s="2"/>
      <c r="F2" s="2"/>
      <c r="G2" s="2"/>
    </row>
    <row r="3" customFormat="false" ht="6" hidden="false" customHeight="true" outlineLevel="0" collapsed="false"/>
    <row r="4" customFormat="false" ht="15" hidden="false" customHeight="false" outlineLevel="0" collapsed="false">
      <c r="A4" s="14" t="s">
        <v>38</v>
      </c>
      <c r="B4" s="15"/>
      <c r="C4" s="15"/>
      <c r="D4" s="15"/>
      <c r="E4" s="15"/>
      <c r="F4" s="15"/>
      <c r="G4" s="15"/>
    </row>
    <row r="5" customFormat="false" ht="18" hidden="false" customHeight="true" outlineLevel="0" collapsed="false">
      <c r="A5" s="16" t="s">
        <v>39</v>
      </c>
      <c r="B5" s="17" t="n">
        <v>3</v>
      </c>
      <c r="C5" s="18" t="s">
        <v>40</v>
      </c>
      <c r="D5" s="18"/>
      <c r="E5" s="18"/>
      <c r="F5" s="18"/>
      <c r="G5" s="18"/>
    </row>
    <row r="6" customFormat="false" ht="18" hidden="false" customHeight="true" outlineLevel="0" collapsed="false">
      <c r="A6" s="16" t="s">
        <v>41</v>
      </c>
      <c r="B6" s="19" t="n">
        <v>0.014</v>
      </c>
      <c r="C6" s="18" t="s">
        <v>42</v>
      </c>
      <c r="D6" s="18"/>
      <c r="E6" s="18"/>
      <c r="F6" s="18"/>
      <c r="G6" s="18"/>
    </row>
    <row r="7" customFormat="false" ht="18" hidden="false" customHeight="true" outlineLevel="0" collapsed="false">
      <c r="A7" s="16" t="s">
        <v>43</v>
      </c>
      <c r="B7" s="17" t="n">
        <v>0.25</v>
      </c>
      <c r="C7" s="18" t="s">
        <v>44</v>
      </c>
      <c r="D7" s="18"/>
      <c r="E7" s="18"/>
      <c r="F7" s="18"/>
      <c r="G7" s="18"/>
    </row>
    <row r="8" customFormat="false" ht="18" hidden="false" customHeight="true" outlineLevel="0" collapsed="false">
      <c r="A8" s="16" t="s">
        <v>45</v>
      </c>
      <c r="B8" s="19" t="n">
        <v>0.95</v>
      </c>
      <c r="C8" s="18" t="s">
        <v>46</v>
      </c>
      <c r="D8" s="18"/>
      <c r="E8" s="18"/>
      <c r="F8" s="18"/>
      <c r="G8" s="18"/>
    </row>
    <row r="9" customFormat="false" ht="7.5" hidden="false" customHeight="true" outlineLevel="0" collapsed="false"/>
    <row r="10" customFormat="false" ht="21.75" hidden="false" customHeight="true" outlineLevel="0" collapsed="false">
      <c r="A10" s="3" t="s">
        <v>47</v>
      </c>
      <c r="B10" s="3" t="s">
        <v>48</v>
      </c>
      <c r="C10" s="3" t="s">
        <v>49</v>
      </c>
      <c r="D10" s="3" t="s">
        <v>50</v>
      </c>
      <c r="E10" s="3" t="s">
        <v>51</v>
      </c>
      <c r="F10" s="3" t="s">
        <v>52</v>
      </c>
      <c r="G10" s="3" t="s">
        <v>53</v>
      </c>
    </row>
    <row r="11" customFormat="false" ht="19.5" hidden="false" customHeight="true" outlineLevel="0" collapsed="false">
      <c r="A11" s="20" t="s">
        <v>54</v>
      </c>
      <c r="B11" s="21" t="n">
        <v>0</v>
      </c>
      <c r="C11" s="5" t="n">
        <f aca="false">B11*$B$5</f>
        <v>0</v>
      </c>
      <c r="D11" s="5" t="n">
        <f aca="false">B11*($B$5*$B$6+$B$7)*$B$8</f>
        <v>0</v>
      </c>
      <c r="E11" s="22" t="n">
        <f aca="false">'Laufende Kosten'!D11</f>
        <v>0</v>
      </c>
      <c r="F11" s="5" t="n">
        <f aca="false">D11+E11</f>
        <v>0</v>
      </c>
      <c r="G11" s="5" t="n">
        <f aca="false">C11-F11</f>
        <v>0</v>
      </c>
    </row>
    <row r="12" customFormat="false" ht="19.5" hidden="false" customHeight="true" outlineLevel="0" collapsed="false">
      <c r="A12" s="16" t="s">
        <v>55</v>
      </c>
      <c r="B12" s="23" t="n">
        <v>10</v>
      </c>
      <c r="C12" s="8" t="n">
        <f aca="false">B12*$B$5</f>
        <v>30</v>
      </c>
      <c r="D12" s="8" t="n">
        <f aca="false">B12*($B$5*$B$6+$B$7)*$B$8</f>
        <v>2.774</v>
      </c>
      <c r="E12" s="24" t="n">
        <f aca="false">'Laufende Kosten'!D11</f>
        <v>0</v>
      </c>
      <c r="F12" s="8" t="n">
        <f aca="false">D12+E12</f>
        <v>2.774</v>
      </c>
      <c r="G12" s="8" t="n">
        <f aca="false">C12-F12</f>
        <v>27.226</v>
      </c>
    </row>
    <row r="13" customFormat="false" ht="19.5" hidden="false" customHeight="true" outlineLevel="0" collapsed="false">
      <c r="A13" s="20" t="s">
        <v>56</v>
      </c>
      <c r="B13" s="21" t="n">
        <v>50</v>
      </c>
      <c r="C13" s="5" t="n">
        <f aca="false">B13*$B$5</f>
        <v>150</v>
      </c>
      <c r="D13" s="5" t="n">
        <f aca="false">B13*($B$5*$B$6+$B$7)*$B$8</f>
        <v>13.87</v>
      </c>
      <c r="E13" s="22" t="n">
        <f aca="false">'Laufende Kosten'!D11</f>
        <v>0</v>
      </c>
      <c r="F13" s="5" t="n">
        <f aca="false">D13+E13</f>
        <v>13.87</v>
      </c>
      <c r="G13" s="5" t="n">
        <f aca="false">C13-F13</f>
        <v>136.13</v>
      </c>
    </row>
    <row r="14" customFormat="false" ht="19.5" hidden="false" customHeight="true" outlineLevel="0" collapsed="false">
      <c r="A14" s="16" t="s">
        <v>57</v>
      </c>
      <c r="B14" s="23" t="n">
        <v>100</v>
      </c>
      <c r="C14" s="8" t="n">
        <f aca="false">B14*$B$5</f>
        <v>300</v>
      </c>
      <c r="D14" s="8" t="n">
        <f aca="false">B14*($B$5*$B$6+$B$7)*$B$8</f>
        <v>27.74</v>
      </c>
      <c r="E14" s="24" t="n">
        <f aca="false">'Laufende Kosten'!D11</f>
        <v>0</v>
      </c>
      <c r="F14" s="8" t="n">
        <f aca="false">D14+E14</f>
        <v>27.74</v>
      </c>
      <c r="G14" s="8" t="n">
        <f aca="false">C14-F14</f>
        <v>272.26</v>
      </c>
    </row>
    <row r="15" customFormat="false" ht="19.5" hidden="false" customHeight="true" outlineLevel="0" collapsed="false">
      <c r="A15" s="20" t="s">
        <v>58</v>
      </c>
      <c r="B15" s="21" t="n">
        <v>250</v>
      </c>
      <c r="C15" s="5" t="n">
        <f aca="false">B15*$B$5</f>
        <v>750</v>
      </c>
      <c r="D15" s="5" t="n">
        <f aca="false">B15*($B$5*$B$6+$B$7)*$B$8</f>
        <v>69.35</v>
      </c>
      <c r="E15" s="22" t="n">
        <f aca="false">'Laufende Kosten'!D11</f>
        <v>0</v>
      </c>
      <c r="F15" s="5" t="n">
        <f aca="false">D15+E15</f>
        <v>69.35</v>
      </c>
      <c r="G15" s="5" t="n">
        <f aca="false">C15-F15</f>
        <v>680.65</v>
      </c>
    </row>
    <row r="16" customFormat="false" ht="19.5" hidden="false" customHeight="true" outlineLevel="0" collapsed="false">
      <c r="A16" s="16" t="s">
        <v>59</v>
      </c>
      <c r="B16" s="23" t="n">
        <v>500</v>
      </c>
      <c r="C16" s="8" t="n">
        <f aca="false">B16*$B$5</f>
        <v>1500</v>
      </c>
      <c r="D16" s="8" t="n">
        <f aca="false">B16*($B$5*$B$6+$B$7)*$B$8</f>
        <v>138.7</v>
      </c>
      <c r="E16" s="24" t="n">
        <f aca="false">'Laufende Kosten'!D11</f>
        <v>0</v>
      </c>
      <c r="F16" s="8" t="n">
        <f aca="false">D16+E16</f>
        <v>138.7</v>
      </c>
      <c r="G16" s="8" t="n">
        <f aca="false">C16-F16</f>
        <v>1361.3</v>
      </c>
    </row>
    <row r="17" customFormat="false" ht="19.5" hidden="false" customHeight="true" outlineLevel="0" collapsed="false">
      <c r="A17" s="20" t="s">
        <v>60</v>
      </c>
      <c r="B17" s="21" t="n">
        <v>1000</v>
      </c>
      <c r="C17" s="5" t="n">
        <f aca="false">B17*$B$5</f>
        <v>3000</v>
      </c>
      <c r="D17" s="5" t="n">
        <f aca="false">B17*($B$5*$B$6+$B$7)*$B$8</f>
        <v>277.4</v>
      </c>
      <c r="E17" s="22" t="n">
        <f aca="false">'Laufende Kosten'!D11</f>
        <v>0</v>
      </c>
      <c r="F17" s="5" t="n">
        <f aca="false">D17+E17</f>
        <v>277.4</v>
      </c>
      <c r="G17" s="5" t="n">
        <f aca="false">C17-F17</f>
        <v>2722.6</v>
      </c>
    </row>
  </sheetData>
  <mergeCells count="7">
    <mergeCell ref="A1:G1"/>
    <mergeCell ref="A2:G2"/>
    <mergeCell ref="B4:G4"/>
    <mergeCell ref="C5:G5"/>
    <mergeCell ref="C6:G6"/>
    <mergeCell ref="C7:G7"/>
    <mergeCell ref="C8:G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2026-05-28T06:06:57Z</dcterms:created>
  <dc:creator>openpyxl</dc:creator>
  <dc:description/>
  <dc:language>en-US</dc:language>
  <cp:lastModifiedBy/>
  <dcterms:modified xsi:type="dcterms:W3CDTF">2026-05-28T06:06:57Z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